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ch\OneDrive\Desktop\"/>
    </mc:Choice>
  </mc:AlternateContent>
  <xr:revisionPtr revIDLastSave="0" documentId="13_ncr:1_{39FA3551-F00B-482E-AFC7-7A59A2D249F6}" xr6:coauthVersionLast="47" xr6:coauthVersionMax="47" xr10:uidLastSave="{00000000-0000-0000-0000-000000000000}"/>
  <bookViews>
    <workbookView xWindow="-120" yWindow="-120" windowWidth="38640" windowHeight="15525" xr2:uid="{C13C7164-0BBC-4ED1-AB42-75A67F155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D17" i="1"/>
  <c r="F17" i="1" s="1"/>
  <c r="J17" i="1" s="1"/>
  <c r="K17" i="1" s="1"/>
  <c r="N17" i="1" s="1"/>
  <c r="D26" i="1"/>
  <c r="F26" i="1" s="1"/>
  <c r="J26" i="1" s="1"/>
  <c r="K26" i="1" s="1"/>
  <c r="O18" i="1" s="1"/>
  <c r="P18" i="1" s="1"/>
  <c r="D27" i="1"/>
  <c r="F27" i="1" s="1"/>
  <c r="J27" i="1" s="1"/>
  <c r="K27" i="1" s="1"/>
  <c r="O19" i="1" s="1"/>
  <c r="P19" i="1" s="1"/>
  <c r="D28" i="1"/>
  <c r="F28" i="1" s="1"/>
  <c r="J28" i="1" s="1"/>
  <c r="K28" i="1" s="1"/>
  <c r="O20" i="1" s="1"/>
  <c r="P20" i="1" s="1"/>
  <c r="D29" i="1"/>
  <c r="F29" i="1" s="1"/>
  <c r="J29" i="1" s="1"/>
  <c r="K29" i="1" s="1"/>
  <c r="O21" i="1" s="1"/>
  <c r="P21" i="1" s="1"/>
  <c r="D25" i="1"/>
  <c r="F25" i="1" s="1"/>
  <c r="J25" i="1" s="1"/>
  <c r="K25" i="1" s="1"/>
  <c r="O17" i="1" s="1"/>
  <c r="D18" i="1"/>
  <c r="F18" i="1" s="1"/>
  <c r="J18" i="1" s="1"/>
  <c r="K18" i="1" s="1"/>
  <c r="N18" i="1" s="1"/>
  <c r="D19" i="1"/>
  <c r="F19" i="1" s="1"/>
  <c r="J19" i="1" s="1"/>
  <c r="K19" i="1" s="1"/>
  <c r="N19" i="1" s="1"/>
  <c r="D20" i="1"/>
  <c r="F20" i="1" s="1"/>
  <c r="J20" i="1" s="1"/>
  <c r="K20" i="1" s="1"/>
  <c r="N20" i="1" s="1"/>
  <c r="D21" i="1"/>
  <c r="F21" i="1" s="1"/>
  <c r="J21" i="1" s="1"/>
  <c r="K21" i="1" s="1"/>
  <c r="N21" i="1" s="1"/>
  <c r="E13" i="1"/>
  <c r="E12" i="1"/>
  <c r="F3" i="1" s="1"/>
  <c r="G3" i="1" s="1"/>
  <c r="A13" i="1"/>
  <c r="A12" i="1"/>
  <c r="B11" i="1" s="1"/>
  <c r="C11" i="1" s="1"/>
  <c r="B8" i="1" l="1"/>
  <c r="C8" i="1" s="1"/>
  <c r="B4" i="1"/>
  <c r="C4" i="1" s="1"/>
  <c r="B7" i="1"/>
  <c r="C7" i="1" s="1"/>
  <c r="B3" i="1"/>
  <c r="C3" i="1" s="1"/>
  <c r="F10" i="1"/>
  <c r="G10" i="1" s="1"/>
  <c r="F6" i="1"/>
  <c r="G6" i="1" s="1"/>
  <c r="F2" i="1"/>
  <c r="G2" i="1" s="1"/>
  <c r="B10" i="1"/>
  <c r="C10" i="1" s="1"/>
  <c r="B6" i="1"/>
  <c r="C6" i="1" s="1"/>
  <c r="B2" i="1"/>
  <c r="C2" i="1" s="1"/>
  <c r="B1" i="1"/>
  <c r="C1" i="1" s="1"/>
  <c r="F9" i="1"/>
  <c r="G9" i="1" s="1"/>
  <c r="F5" i="1"/>
  <c r="G5" i="1" s="1"/>
  <c r="B9" i="1"/>
  <c r="C9" i="1" s="1"/>
  <c r="B5" i="1"/>
  <c r="C5" i="1" s="1"/>
  <c r="F1" i="1"/>
  <c r="G1" i="1" s="1"/>
  <c r="F8" i="1"/>
  <c r="G8" i="1" s="1"/>
  <c r="F4" i="1"/>
  <c r="G4" i="1" s="1"/>
  <c r="F11" i="1"/>
  <c r="G11" i="1" s="1"/>
  <c r="F7" i="1"/>
  <c r="G7" i="1" s="1"/>
  <c r="G12" i="1" l="1"/>
  <c r="H1" i="1" s="1"/>
  <c r="C12" i="1"/>
  <c r="D1" i="1" s="1"/>
</calcChain>
</file>

<file path=xl/sharedStrings.xml><?xml version="1.0" encoding="utf-8"?>
<sst xmlns="http://schemas.openxmlformats.org/spreadsheetml/2006/main" count="26" uniqueCount="17">
  <si>
    <t>Trial #</t>
  </si>
  <si>
    <t>Total mass of sled (kg)</t>
  </si>
  <si>
    <t>Initial Radius of Mass (m)</t>
  </si>
  <si>
    <r>
      <t xml:space="preserve">Initial I of mass </t>
    </r>
    <r>
      <rPr>
        <sz val="12"/>
        <color rgb="FF000000"/>
        <rFont val="Times New Roman"/>
        <family val="1"/>
      </rPr>
      <t>(kg · 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</si>
  <si>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 xml:space="preserve">I of “arm” </t>
  </si>
  <si>
    <r>
      <t>(kg · 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</si>
  <si>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r>
      <t xml:space="preserve">Total Moment of Inertia </t>
    </r>
    <r>
      <rPr>
        <sz val="12"/>
        <color rgb="FF000000"/>
        <rFont val="Times New Roman"/>
        <family val="1"/>
      </rPr>
      <t>(kg · 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</si>
  <si>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>Final Radius of Mass (m)</t>
  </si>
  <si>
    <r>
      <t xml:space="preserve">Final I of mass </t>
    </r>
    <r>
      <rPr>
        <sz val="12"/>
        <color rgb="FF000000"/>
        <rFont val="Times New Roman"/>
        <family val="1"/>
      </rPr>
      <t>(kg · 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</si>
  <si>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>Angular Velocity (rad/s)</t>
  </si>
  <si>
    <r>
      <t>Initial Moment of Inertia    (kg · 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)</t>
    </r>
  </si>
  <si>
    <r>
      <t>Initial Angular Momentum (kg · 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 xml:space="preserve">/s) </t>
    </r>
  </si>
  <si>
    <r>
      <t>Final Moment of Inertia    (kg · 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)</t>
    </r>
  </si>
  <si>
    <r>
      <t>Final Angular Momentum (kg · 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 xml:space="preserve">/s) </t>
    </r>
  </si>
  <si>
    <r>
      <t>Initial Angular Momentum (kg · 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/s)</t>
    </r>
  </si>
  <si>
    <r>
      <t>Final Angular Momentum (kg · 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/s)</t>
    </r>
  </si>
  <si>
    <t xml:space="preserve">Percent Difference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</si>
</sst>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vertAlign val="superscript"/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7" borderId="1" xfId="0" applyFill="1" applyBorder="1"/>
    <xf numFmtId="0" fontId="3" fillId="5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7C85-3F9A-4E07-90C1-BBE4DC21D312}">
  <dimension ref="A1:P29"/>
  <sheetViews>
    <sheetView tabSelected="1" workbookViewId="0">
      <selection activeCell="K6" sqref="K6"/>
    </sheetView>
  </sheetViews>
  <sheetFormatPr defaultRowHeight="15" x14ac:dyDescent="0.25"/>
  <cols>
    <col min="6" max="6" width="12" bestFit="1" customWidth="1"/>
    <col min="8" max="8" width="9.7109375" customWidth="1"/>
    <col min="9" max="9" width="10" customWidth="1"/>
  </cols>
  <sheetData>
    <row r="1" spans="1:16" ht="15.75" x14ac:dyDescent="0.25">
      <c r="A1" s="2">
        <v>7.32</v>
      </c>
      <c r="B1" s="16">
        <f>(A1-$A$12)</f>
        <v>0.62445454545454648</v>
      </c>
      <c r="C1" s="16">
        <f>B1^2</f>
        <v>0.38994347933884427</v>
      </c>
      <c r="D1">
        <f>SQRT(C12/10)</f>
        <v>1.3531626187296459</v>
      </c>
      <c r="E1" s="2">
        <v>3.121</v>
      </c>
      <c r="F1" s="16">
        <f t="shared" ref="F1:F11" si="0">(E1-$E$12)</f>
        <v>-1.3545454545454749E-2</v>
      </c>
      <c r="G1" s="16">
        <f>F1^2</f>
        <v>1.8347933884298073E-4</v>
      </c>
      <c r="H1">
        <f>SQRT(G12/10)</f>
        <v>0.62554286242213064</v>
      </c>
    </row>
    <row r="2" spans="1:16" ht="15.75" x14ac:dyDescent="0.25">
      <c r="A2" s="10">
        <v>7.0110000000000001</v>
      </c>
      <c r="B2" s="17">
        <f t="shared" ref="B2:B11" si="1">(A2-$A$12)</f>
        <v>0.31545454545454632</v>
      </c>
      <c r="C2" s="17">
        <f t="shared" ref="C2:C11" si="2">B2^2</f>
        <v>9.9511570247934431E-2</v>
      </c>
      <c r="E2" s="10">
        <v>3.3460000000000001</v>
      </c>
      <c r="F2" s="17">
        <f t="shared" si="0"/>
        <v>0.21145454545454534</v>
      </c>
      <c r="G2" s="17">
        <f t="shared" ref="G2:G11" si="3">F2^2</f>
        <v>4.471302479338838E-2</v>
      </c>
    </row>
    <row r="3" spans="1:16" ht="15.75" x14ac:dyDescent="0.25">
      <c r="A3" s="4">
        <v>9.1530000000000005</v>
      </c>
      <c r="B3" s="16">
        <f t="shared" si="1"/>
        <v>2.4574545454545467</v>
      </c>
      <c r="C3" s="16">
        <f t="shared" si="2"/>
        <v>6.0390828429752128</v>
      </c>
      <c r="E3" s="4">
        <v>4.2729999999999997</v>
      </c>
      <c r="F3" s="16">
        <f t="shared" si="0"/>
        <v>1.1384545454545449</v>
      </c>
      <c r="G3" s="16">
        <f t="shared" si="3"/>
        <v>1.2960787520661146</v>
      </c>
    </row>
    <row r="4" spans="1:16" ht="15.75" x14ac:dyDescent="0.25">
      <c r="A4" s="10">
        <v>7.032</v>
      </c>
      <c r="B4" s="17">
        <f t="shared" si="1"/>
        <v>0.33645454545454623</v>
      </c>
      <c r="C4" s="17">
        <f t="shared" si="2"/>
        <v>0.11320166115702532</v>
      </c>
      <c r="E4" s="10">
        <v>3.3140000000000001</v>
      </c>
      <c r="F4" s="17">
        <f t="shared" si="0"/>
        <v>0.17945454545454531</v>
      </c>
      <c r="G4" s="17">
        <f t="shared" si="3"/>
        <v>3.2203933884297473E-2</v>
      </c>
    </row>
    <row r="5" spans="1:16" ht="15.75" x14ac:dyDescent="0.25">
      <c r="A5" s="4">
        <v>8.2780000000000005</v>
      </c>
      <c r="B5" s="16">
        <f t="shared" si="1"/>
        <v>1.5824545454545467</v>
      </c>
      <c r="C5" s="16">
        <f t="shared" si="2"/>
        <v>2.5041623884297559</v>
      </c>
      <c r="E5" s="4">
        <v>4.0739999999999998</v>
      </c>
      <c r="F5" s="16">
        <f t="shared" si="0"/>
        <v>0.9394545454545451</v>
      </c>
      <c r="G5" s="16">
        <f t="shared" si="3"/>
        <v>0.88257484297520594</v>
      </c>
    </row>
    <row r="6" spans="1:16" ht="15.75" x14ac:dyDescent="0.25">
      <c r="A6" s="10">
        <v>4.5919999999999996</v>
      </c>
      <c r="B6" s="17">
        <f t="shared" si="1"/>
        <v>-2.1035454545454542</v>
      </c>
      <c r="C6" s="17">
        <f t="shared" si="2"/>
        <v>4.4249034793388411</v>
      </c>
      <c r="E6" s="10">
        <v>2.262</v>
      </c>
      <c r="F6" s="17">
        <f t="shared" si="0"/>
        <v>-0.87254545454545474</v>
      </c>
      <c r="G6" s="17">
        <f t="shared" si="3"/>
        <v>0.76133557024793419</v>
      </c>
    </row>
    <row r="7" spans="1:16" ht="15.75" x14ac:dyDescent="0.25">
      <c r="A7" s="4">
        <v>5.6289999999999996</v>
      </c>
      <c r="B7" s="16">
        <f t="shared" si="1"/>
        <v>-1.0665454545454542</v>
      </c>
      <c r="C7" s="16">
        <f t="shared" si="2"/>
        <v>1.1375192066115696</v>
      </c>
      <c r="E7" s="4">
        <v>2.8010000000000002</v>
      </c>
      <c r="F7" s="16">
        <f t="shared" si="0"/>
        <v>-0.33354545454545459</v>
      </c>
      <c r="G7" s="16">
        <f t="shared" si="3"/>
        <v>0.11125257024793392</v>
      </c>
    </row>
    <row r="8" spans="1:16" ht="15.75" x14ac:dyDescent="0.25">
      <c r="A8" s="10">
        <v>6.1210000000000004</v>
      </c>
      <c r="B8" s="17">
        <f t="shared" si="1"/>
        <v>-0.57454545454545336</v>
      </c>
      <c r="C8" s="17">
        <f t="shared" si="2"/>
        <v>0.33010247933884163</v>
      </c>
      <c r="E8" s="10">
        <v>2.7909999999999999</v>
      </c>
      <c r="F8" s="17">
        <f t="shared" si="0"/>
        <v>-0.34354545454545482</v>
      </c>
      <c r="G8" s="17">
        <f t="shared" si="3"/>
        <v>0.11802347933884316</v>
      </c>
    </row>
    <row r="9" spans="1:16" ht="15.75" x14ac:dyDescent="0.25">
      <c r="A9" s="2">
        <v>5.33</v>
      </c>
      <c r="B9" s="16">
        <f t="shared" si="1"/>
        <v>-1.3655454545454537</v>
      </c>
      <c r="C9" s="16">
        <f t="shared" si="2"/>
        <v>1.8647143884297499</v>
      </c>
      <c r="E9" s="2">
        <v>2.5190000000000001</v>
      </c>
      <c r="F9" s="16">
        <f t="shared" si="0"/>
        <v>-0.61554545454545462</v>
      </c>
      <c r="G9" s="16">
        <f t="shared" si="3"/>
        <v>0.37889620661157036</v>
      </c>
    </row>
    <row r="10" spans="1:16" ht="15.75" x14ac:dyDescent="0.25">
      <c r="A10" s="10">
        <v>5.76</v>
      </c>
      <c r="B10" s="17">
        <f t="shared" si="1"/>
        <v>-0.93554545454545401</v>
      </c>
      <c r="C10" s="17">
        <f t="shared" si="2"/>
        <v>0.87524529752066016</v>
      </c>
      <c r="E10" s="10">
        <v>2.6389999999999998</v>
      </c>
      <c r="F10" s="17">
        <f t="shared" si="0"/>
        <v>-0.49554545454545496</v>
      </c>
      <c r="G10" s="17">
        <f t="shared" si="3"/>
        <v>0.24556529752066156</v>
      </c>
    </row>
    <row r="11" spans="1:16" ht="15.75" x14ac:dyDescent="0.25">
      <c r="A11" s="2">
        <v>7.4249999999999998</v>
      </c>
      <c r="B11" s="16">
        <f t="shared" si="1"/>
        <v>0.72945454545454602</v>
      </c>
      <c r="C11" s="16">
        <f t="shared" si="2"/>
        <v>0.53210393388429833</v>
      </c>
      <c r="E11" s="2">
        <v>3.34</v>
      </c>
      <c r="F11" s="16">
        <f t="shared" si="0"/>
        <v>0.20545454545454511</v>
      </c>
      <c r="G11" s="16">
        <f t="shared" si="3"/>
        <v>4.2211570247933747E-2</v>
      </c>
    </row>
    <row r="12" spans="1:16" x14ac:dyDescent="0.25">
      <c r="A12">
        <f>AVERAGE(A1:A11)</f>
        <v>6.6955454545454538</v>
      </c>
      <c r="C12">
        <f>SUM(C1:C11)</f>
        <v>18.310490727272732</v>
      </c>
      <c r="E12">
        <f>AVERAGE(E1:E11)</f>
        <v>3.1345454545454547</v>
      </c>
      <c r="G12">
        <f>SUM(G1:G11)</f>
        <v>3.9130387272727263</v>
      </c>
    </row>
    <row r="13" spans="1:16" x14ac:dyDescent="0.25">
      <c r="A13">
        <f>SUM(A1:A11)</f>
        <v>73.650999999999996</v>
      </c>
      <c r="E13">
        <f>SUM(E1:E11)</f>
        <v>34.480000000000004</v>
      </c>
    </row>
    <row r="15" spans="1:16" ht="26.25" customHeight="1" x14ac:dyDescent="0.25">
      <c r="A15" s="20" t="s">
        <v>0</v>
      </c>
      <c r="B15" s="20" t="s">
        <v>1</v>
      </c>
      <c r="C15" s="20" t="s">
        <v>2</v>
      </c>
      <c r="D15" s="20" t="s">
        <v>3</v>
      </c>
      <c r="E15" s="8" t="s">
        <v>4</v>
      </c>
      <c r="F15" s="21" t="s">
        <v>6</v>
      </c>
      <c r="H15" s="20" t="s">
        <v>0</v>
      </c>
      <c r="I15" s="20" t="s">
        <v>9</v>
      </c>
      <c r="J15" s="20" t="s">
        <v>10</v>
      </c>
      <c r="K15" s="21" t="s">
        <v>11</v>
      </c>
      <c r="M15" s="22" t="s">
        <v>0</v>
      </c>
      <c r="N15" s="22" t="s">
        <v>14</v>
      </c>
      <c r="O15" s="22" t="s">
        <v>15</v>
      </c>
      <c r="P15" s="23" t="s">
        <v>16</v>
      </c>
    </row>
    <row r="16" spans="1:16" ht="42.75" customHeight="1" x14ac:dyDescent="0.25">
      <c r="A16" s="20"/>
      <c r="B16" s="20"/>
      <c r="C16" s="20"/>
      <c r="D16" s="20"/>
      <c r="E16" s="9" t="s">
        <v>5</v>
      </c>
      <c r="F16" s="21"/>
      <c r="H16" s="20"/>
      <c r="I16" s="20"/>
      <c r="J16" s="20"/>
      <c r="K16" s="21"/>
      <c r="M16" s="22"/>
      <c r="N16" s="22"/>
      <c r="O16" s="22"/>
      <c r="P16" s="23"/>
    </row>
    <row r="17" spans="1:16" ht="15.75" x14ac:dyDescent="0.25">
      <c r="A17" s="2">
        <v>1</v>
      </c>
      <c r="B17" s="3">
        <v>0.1489</v>
      </c>
      <c r="C17" s="2">
        <v>0.20200000000000001</v>
      </c>
      <c r="D17" s="2">
        <f>(B17*(C17^2))</f>
        <v>6.0757156000000008E-3</v>
      </c>
      <c r="E17" s="4">
        <v>1.2E-2</v>
      </c>
      <c r="F17" s="13">
        <f>D17+E17</f>
        <v>1.80757156E-2</v>
      </c>
      <c r="H17" s="2">
        <v>1</v>
      </c>
      <c r="I17" s="2">
        <v>5.0629999999999997</v>
      </c>
      <c r="J17" s="2">
        <f>F17</f>
        <v>1.80757156E-2</v>
      </c>
      <c r="K17" s="13">
        <f>I17*J17</f>
        <v>9.1517348082800001E-2</v>
      </c>
      <c r="M17" s="2">
        <v>1</v>
      </c>
      <c r="N17" s="2">
        <f>K17</f>
        <v>9.1517348082800001E-2</v>
      </c>
      <c r="O17" s="2">
        <f>K25</f>
        <v>9.0665425418474985E-2</v>
      </c>
      <c r="P17" s="15">
        <f>(O17-N17)*100</f>
        <v>-8.5192266432501662E-2</v>
      </c>
    </row>
    <row r="18" spans="1:16" ht="15.75" x14ac:dyDescent="0.25">
      <c r="A18" s="10">
        <v>2</v>
      </c>
      <c r="B18" s="11">
        <v>0.1489</v>
      </c>
      <c r="C18" s="10">
        <v>3.85E-2</v>
      </c>
      <c r="D18" s="12">
        <f t="shared" ref="D18:D21" si="4">(B18*(C18^2))</f>
        <v>2.2070702500000001E-4</v>
      </c>
      <c r="E18" s="10">
        <v>1.2E-2</v>
      </c>
      <c r="F18" s="13">
        <f t="shared" ref="F18:F21" si="5">D18+E18</f>
        <v>1.2220707024999999E-2</v>
      </c>
      <c r="H18" s="10">
        <v>2</v>
      </c>
      <c r="I18" s="10">
        <v>7.1210000000000004</v>
      </c>
      <c r="J18" s="12">
        <f>F18</f>
        <v>1.2220707024999999E-2</v>
      </c>
      <c r="K18" s="13">
        <f t="shared" ref="K18:K21" si="6">I18*J18</f>
        <v>8.7023654725025004E-2</v>
      </c>
      <c r="M18" s="10">
        <v>2</v>
      </c>
      <c r="N18" s="12">
        <f t="shared" ref="N18:N21" si="7">K18</f>
        <v>8.7023654725025004E-2</v>
      </c>
      <c r="O18" s="12">
        <f t="shared" ref="O18:O21" si="8">K26</f>
        <v>8.8119113550000003E-2</v>
      </c>
      <c r="P18" s="15">
        <f t="shared" ref="P18:P21" si="9">(O18-N18)*100</f>
        <v>0.10954588249749986</v>
      </c>
    </row>
    <row r="19" spans="1:16" ht="15.75" x14ac:dyDescent="0.25">
      <c r="A19" s="2">
        <v>3</v>
      </c>
      <c r="B19" s="3">
        <v>0.1489</v>
      </c>
      <c r="C19" s="2">
        <v>0.20200000000000001</v>
      </c>
      <c r="D19" s="2">
        <f t="shared" si="4"/>
        <v>6.0757156000000008E-3</v>
      </c>
      <c r="E19" s="4">
        <v>1.2E-2</v>
      </c>
      <c r="F19" s="13">
        <f t="shared" si="5"/>
        <v>1.80757156E-2</v>
      </c>
      <c r="H19" s="2">
        <v>3</v>
      </c>
      <c r="I19" s="2">
        <v>4.7649999999999997</v>
      </c>
      <c r="J19" s="2">
        <f>F19</f>
        <v>1.80757156E-2</v>
      </c>
      <c r="K19" s="13">
        <f t="shared" si="6"/>
        <v>8.6130784833999996E-2</v>
      </c>
      <c r="M19" s="2">
        <v>3</v>
      </c>
      <c r="N19" s="2">
        <f t="shared" si="7"/>
        <v>8.6130784833999996E-2</v>
      </c>
      <c r="O19" s="2">
        <f t="shared" si="8"/>
        <v>8.6705916342374997E-2</v>
      </c>
      <c r="P19" s="15">
        <f t="shared" si="9"/>
        <v>5.7513150837500138E-2</v>
      </c>
    </row>
    <row r="20" spans="1:16" ht="15.75" x14ac:dyDescent="0.25">
      <c r="A20" s="10">
        <v>4</v>
      </c>
      <c r="B20" s="11">
        <v>0.1489</v>
      </c>
      <c r="C20" s="10">
        <v>3.85E-2</v>
      </c>
      <c r="D20" s="12">
        <f t="shared" si="4"/>
        <v>2.2070702500000001E-4</v>
      </c>
      <c r="E20" s="10">
        <v>1.2E-2</v>
      </c>
      <c r="F20" s="13">
        <f t="shared" si="5"/>
        <v>1.2220707024999999E-2</v>
      </c>
      <c r="H20" s="5">
        <v>4</v>
      </c>
      <c r="I20" s="10">
        <v>6.7389999999999999</v>
      </c>
      <c r="J20" s="12">
        <f>F20</f>
        <v>1.2220707024999999E-2</v>
      </c>
      <c r="K20" s="13">
        <f t="shared" si="6"/>
        <v>8.2355344641474995E-2</v>
      </c>
      <c r="M20" s="10">
        <v>4</v>
      </c>
      <c r="N20" s="12">
        <f t="shared" si="7"/>
        <v>8.2355344641474995E-2</v>
      </c>
      <c r="O20" s="12">
        <f t="shared" si="8"/>
        <v>8.3943623246400006E-2</v>
      </c>
      <c r="P20" s="15">
        <f t="shared" si="9"/>
        <v>0.15882786049250114</v>
      </c>
    </row>
    <row r="21" spans="1:16" ht="15.75" x14ac:dyDescent="0.25">
      <c r="A21" s="2">
        <v>5</v>
      </c>
      <c r="B21" s="3">
        <v>0.1489</v>
      </c>
      <c r="C21" s="2">
        <v>0.20200000000000001</v>
      </c>
      <c r="D21" s="2">
        <f t="shared" si="4"/>
        <v>6.0757156000000008E-3</v>
      </c>
      <c r="E21" s="4">
        <v>1.2E-2</v>
      </c>
      <c r="F21" s="13">
        <f t="shared" si="5"/>
        <v>1.80757156E-2</v>
      </c>
      <c r="H21" s="2">
        <v>5</v>
      </c>
      <c r="I21" s="2">
        <v>4.5609999999999999</v>
      </c>
      <c r="J21" s="2">
        <f>F21</f>
        <v>1.80757156E-2</v>
      </c>
      <c r="K21" s="13">
        <f t="shared" si="6"/>
        <v>8.2443338851600004E-2</v>
      </c>
      <c r="M21" s="2">
        <v>5</v>
      </c>
      <c r="N21" s="2">
        <f t="shared" si="7"/>
        <v>8.2443338851600004E-2</v>
      </c>
      <c r="O21" s="2">
        <f t="shared" si="8"/>
        <v>8.3051924941900002E-2</v>
      </c>
      <c r="P21" s="15">
        <f t="shared" si="9"/>
        <v>6.0858609029999788E-2</v>
      </c>
    </row>
    <row r="22" spans="1:16" ht="16.5" customHeight="1" x14ac:dyDescent="0.25"/>
    <row r="23" spans="1:16" ht="30" customHeight="1" x14ac:dyDescent="0.25">
      <c r="A23" s="18" t="s">
        <v>0</v>
      </c>
      <c r="B23" s="18" t="s">
        <v>1</v>
      </c>
      <c r="C23" s="18" t="s">
        <v>7</v>
      </c>
      <c r="D23" s="18" t="s">
        <v>8</v>
      </c>
      <c r="E23" s="6" t="s">
        <v>4</v>
      </c>
      <c r="F23" s="19" t="s">
        <v>6</v>
      </c>
      <c r="H23" s="18" t="s">
        <v>0</v>
      </c>
      <c r="I23" s="18" t="s">
        <v>9</v>
      </c>
      <c r="J23" s="18" t="s">
        <v>12</v>
      </c>
      <c r="K23" s="19" t="s">
        <v>13</v>
      </c>
      <c r="L23" s="1"/>
    </row>
    <row r="24" spans="1:16" ht="49.5" customHeight="1" x14ac:dyDescent="0.25">
      <c r="A24" s="18"/>
      <c r="B24" s="18"/>
      <c r="C24" s="18"/>
      <c r="D24" s="18"/>
      <c r="E24" s="7" t="s">
        <v>5</v>
      </c>
      <c r="F24" s="19"/>
      <c r="H24" s="18"/>
      <c r="I24" s="18"/>
      <c r="J24" s="18"/>
      <c r="K24" s="19"/>
    </row>
    <row r="25" spans="1:16" ht="15.75" x14ac:dyDescent="0.25">
      <c r="A25" s="2">
        <v>1</v>
      </c>
      <c r="B25" s="3">
        <v>0.1489</v>
      </c>
      <c r="C25" s="2">
        <v>3.85E-2</v>
      </c>
      <c r="D25" s="2">
        <f t="shared" ref="D25:D29" si="10">(B25*(C25^2))</f>
        <v>2.2070702500000001E-4</v>
      </c>
      <c r="E25" s="4">
        <v>1.2E-2</v>
      </c>
      <c r="F25" s="14">
        <f>D25+E25</f>
        <v>1.2220707024999999E-2</v>
      </c>
      <c r="H25" s="2">
        <v>1</v>
      </c>
      <c r="I25" s="2">
        <v>7.4189999999999996</v>
      </c>
      <c r="J25" s="2">
        <f>F25</f>
        <v>1.2220707024999999E-2</v>
      </c>
      <c r="K25" s="14">
        <f t="shared" ref="K25:K29" si="11">I25*J25</f>
        <v>9.0665425418474985E-2</v>
      </c>
    </row>
    <row r="26" spans="1:16" ht="15.75" x14ac:dyDescent="0.25">
      <c r="A26" s="10">
        <v>2</v>
      </c>
      <c r="B26" s="11">
        <v>0.1489</v>
      </c>
      <c r="C26" s="10">
        <v>0.20200000000000001</v>
      </c>
      <c r="D26" s="12">
        <f t="shared" si="10"/>
        <v>6.0757156000000008E-3</v>
      </c>
      <c r="E26" s="10">
        <v>1.2E-2</v>
      </c>
      <c r="F26" s="14">
        <f t="shared" ref="F26:F29" si="12">D26+E26</f>
        <v>1.80757156E-2</v>
      </c>
      <c r="H26" s="10">
        <v>2</v>
      </c>
      <c r="I26" s="10">
        <v>4.875</v>
      </c>
      <c r="J26" s="12">
        <f>F26</f>
        <v>1.80757156E-2</v>
      </c>
      <c r="K26" s="14">
        <f t="shared" si="11"/>
        <v>8.8119113550000003E-2</v>
      </c>
    </row>
    <row r="27" spans="1:16" ht="15.75" x14ac:dyDescent="0.25">
      <c r="A27" s="2">
        <v>3</v>
      </c>
      <c r="B27" s="3">
        <v>0.1489</v>
      </c>
      <c r="C27" s="2">
        <v>3.85E-2</v>
      </c>
      <c r="D27" s="2">
        <f t="shared" si="10"/>
        <v>2.2070702500000001E-4</v>
      </c>
      <c r="E27" s="4">
        <v>1.2E-2</v>
      </c>
      <c r="F27" s="14">
        <f t="shared" si="12"/>
        <v>1.2220707024999999E-2</v>
      </c>
      <c r="H27" s="2">
        <v>3</v>
      </c>
      <c r="I27" s="2">
        <v>7.0949999999999998</v>
      </c>
      <c r="J27" s="2">
        <f>F27</f>
        <v>1.2220707024999999E-2</v>
      </c>
      <c r="K27" s="14">
        <f t="shared" si="11"/>
        <v>8.6705916342374997E-2</v>
      </c>
    </row>
    <row r="28" spans="1:16" ht="15.75" x14ac:dyDescent="0.25">
      <c r="A28" s="10">
        <v>4</v>
      </c>
      <c r="B28" s="11">
        <v>0.1489</v>
      </c>
      <c r="C28" s="10">
        <v>0.20200000000000001</v>
      </c>
      <c r="D28" s="12">
        <f t="shared" si="10"/>
        <v>6.0757156000000008E-3</v>
      </c>
      <c r="E28" s="10">
        <v>1.2E-2</v>
      </c>
      <c r="F28" s="14">
        <f t="shared" si="12"/>
        <v>1.80757156E-2</v>
      </c>
      <c r="H28" s="5">
        <v>4</v>
      </c>
      <c r="I28" s="10">
        <v>4.6440000000000001</v>
      </c>
      <c r="J28" s="12">
        <f>F28</f>
        <v>1.80757156E-2</v>
      </c>
      <c r="K28" s="14">
        <f t="shared" si="11"/>
        <v>8.3943623246400006E-2</v>
      </c>
    </row>
    <row r="29" spans="1:16" ht="15.75" x14ac:dyDescent="0.25">
      <c r="A29" s="2">
        <v>5</v>
      </c>
      <c r="B29" s="3">
        <v>0.1489</v>
      </c>
      <c r="C29" s="2">
        <v>3.85E-2</v>
      </c>
      <c r="D29" s="2">
        <f t="shared" si="10"/>
        <v>2.2070702500000001E-4</v>
      </c>
      <c r="E29" s="4">
        <v>1.2E-2</v>
      </c>
      <c r="F29" s="14">
        <f t="shared" si="12"/>
        <v>1.2220707024999999E-2</v>
      </c>
      <c r="H29" s="2">
        <v>5</v>
      </c>
      <c r="I29" s="2">
        <v>6.7960000000000003</v>
      </c>
      <c r="J29" s="2">
        <f>F29</f>
        <v>1.2220707024999999E-2</v>
      </c>
      <c r="K29" s="14">
        <f t="shared" si="11"/>
        <v>8.3051924941900002E-2</v>
      </c>
    </row>
  </sheetData>
  <mergeCells count="22">
    <mergeCell ref="A15:A16"/>
    <mergeCell ref="B15:B16"/>
    <mergeCell ref="C15:C16"/>
    <mergeCell ref="D15:D16"/>
    <mergeCell ref="F15:F16"/>
    <mergeCell ref="A23:A24"/>
    <mergeCell ref="B23:B24"/>
    <mergeCell ref="C23:C24"/>
    <mergeCell ref="D23:D24"/>
    <mergeCell ref="F23:F24"/>
    <mergeCell ref="M15:M16"/>
    <mergeCell ref="N15:N16"/>
    <mergeCell ref="O15:O16"/>
    <mergeCell ref="P15:P16"/>
    <mergeCell ref="H23:H24"/>
    <mergeCell ref="I23:I24"/>
    <mergeCell ref="J23:J24"/>
    <mergeCell ref="K23:K24"/>
    <mergeCell ref="H15:H16"/>
    <mergeCell ref="I15:I16"/>
    <mergeCell ref="J15:J16"/>
    <mergeCell ref="K15:K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8654288AB80D45B90E1B2234F20B12" ma:contentTypeVersion="9" ma:contentTypeDescription="Create a new document." ma:contentTypeScope="" ma:versionID="4b44717a4a19d44f3507b620442596de">
  <xsd:schema xmlns:xsd="http://www.w3.org/2001/XMLSchema" xmlns:xs="http://www.w3.org/2001/XMLSchema" xmlns:p="http://schemas.microsoft.com/office/2006/metadata/properties" xmlns:ns3="b758af73-e3b7-4409-9fd5-2e7f46d37d7b" targetNamespace="http://schemas.microsoft.com/office/2006/metadata/properties" ma:root="true" ma:fieldsID="e3bd761809fd5ee1e76a29fd3e5a04cb" ns3:_="">
    <xsd:import namespace="b758af73-e3b7-4409-9fd5-2e7f46d37d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8af73-e3b7-4409-9fd5-2e7f46d37d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4A2F21-FE80-4EB3-A31B-06689CD6B6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C02112-B58C-4260-B229-7986ED76D6CA}">
  <ds:schemaRefs>
    <ds:schemaRef ds:uri="http://schemas.openxmlformats.org/package/2006/metadata/core-properties"/>
    <ds:schemaRef ds:uri="http://purl.org/dc/elements/1.1/"/>
    <ds:schemaRef ds:uri="b758af73-e3b7-4409-9fd5-2e7f46d37d7b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525AB0C-9B5B-420E-A877-D1AB509EB5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8af73-e3b7-4409-9fd5-2e7f46d37d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Manchester</dc:creator>
  <cp:lastModifiedBy>Josh Manchester</cp:lastModifiedBy>
  <dcterms:created xsi:type="dcterms:W3CDTF">2023-04-24T19:12:10Z</dcterms:created>
  <dcterms:modified xsi:type="dcterms:W3CDTF">2023-04-26T13:37:18Z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0x0101000E8654288AB80D45B90E1B2234F20B12</vt:lpwstr>
  </property>
</Properties>
</file>